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e\Desktop\desafio-DIO\"/>
    </mc:Choice>
  </mc:AlternateContent>
  <xr:revisionPtr revIDLastSave="0" documentId="8_{5B84AC45-85C0-4FB4-80B0-1321205F60FA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3" l="1"/>
  <c r="F26" i="3"/>
</calcChain>
</file>

<file path=xl/sharedStrings.xml><?xml version="1.0" encoding="utf-8"?>
<sst xmlns="http://schemas.openxmlformats.org/spreadsheetml/2006/main" count="2023" uniqueCount="326">
  <si>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</si>
  <si>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</si>
  <si>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</si>
  <si>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</si>
  <si>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</si>
  <si>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</si>
  <si>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</si>
  <si>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</si>
  <si>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</si>
  <si>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</si>
  <si>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</si>
  <si>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</si>
  <si>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</si>
  <si>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</si>
  <si>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</si>
  <si>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</si>
  <si>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</si>
  <si>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</si>
  <si>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</si>
  <si>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</si>
  <si>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</si>
  <si>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</si>
  <si>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</si>
  <si>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</si>
  <si>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</si>
  <si>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</si>
  <si>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</si>
  <si>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</si>
  <si>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</si>
  <si>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</si>
  <si>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</si>
  <si>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</si>
  <si>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</si>
  <si>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</si>
  <si>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</si>
  <si>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</si>
  <si>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</si>
  <si>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</si>
  <si>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</si>
  <si>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</si>
  <si>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</si>
  <si>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</si>
  <si>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</si>
  <si>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</si>
  <si>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</si>
  <si>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</si>
  <si>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</si>
  <si>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</si>
  <si>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</si>
  <si>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</si>
  <si>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</si>
  <si>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</si>
  <si>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</si>
  <si>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</si>
  <si>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</si>
  <si>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</si>
  <si>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</si>
  <si>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</si>
  <si>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</si>
  <si>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</si>
  <si>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</si>
  <si>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</si>
  <si>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</si>
  <si>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</si>
  <si>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</si>
  <si>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</si>
  <si>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</si>
  <si>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</si>
  <si>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</si>
  <si>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</si>
  <si>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</si>
  <si>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</si>
  <si>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</si>
  <si>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</si>
  <si>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</si>
  <si>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</si>
  <si>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</si>
  <si>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</si>
  <si>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</si>
  <si>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</si>
  <si>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</si>
  <si>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</si>
  <si>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</si>
  <si>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</si>
  <si>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</si>
  <si>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</si>
  <si>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</si>
  <si>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</si>
  <si>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</si>
  <si>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</si>
  <si>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</si>
  <si>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</si>
  <si>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</si>
  <si>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</si>
  <si>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</si>
  <si>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</si>
  <si>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</si>
  <si>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</si>
  <si>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</si>
  <si>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</si>
  <si>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</si>
  <si>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</si>
  <si>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</si>
  <si>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</si>
  <si>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</si>
  <si>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</si>
  <si>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</si>
  <si>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</si>
  <si>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</si>
  <si>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</si>
  <si>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</si>
  <si>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</si>
  <si>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</si>
  <si>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</si>
  <si>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</si>
  <si>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</si>
  <si>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</si>
  <si>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</si>
  <si>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</si>
  <si>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</si>
  <si>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</si>
  <si>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</si>
  <si>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</si>
  <si>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</si>
  <si>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</si>
  <si>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</si>
  <si>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</si>
  <si>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</si>
  <si>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</si>
  <si>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</si>
  <si>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</si>
  <si>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</si>
  <si>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</si>
  <si>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</si>
  <si>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</si>
  <si>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</si>
  <si>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</si>
  <si>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</si>
  <si>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</si>
  <si>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</si>
  <si>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</si>
  <si>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</si>
  <si>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</si>
  <si>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</si>
  <si>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</si>
  <si>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</si>
  <si>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</si>
  <si>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</si>
  <si>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</si>
  <si>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</si>
  <si>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</si>
  <si>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</si>
  <si>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</si>
  <si>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</si>
  <si>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</si>
  <si>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</si>
  <si>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</si>
  <si>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</si>
  <si>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</si>
  <si>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</si>
  <si>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</si>
  <si>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</si>
  <si>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</si>
  <si>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</si>
  <si>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</si>
  <si>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</si>
  <si>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</si>
  <si>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</si>
  <si>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</si>
  <si>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</si>
  <si>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</si>
  <si>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</si>
  <si>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</si>
  <si>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</si>
  <si>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</si>
  <si>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</si>
  <si>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</si>
  <si>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</si>
  <si>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</si>
  <si>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</si>
  <si>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</si>
  <si>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</si>
  <si>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</si>
  <si>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</si>
  <si>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</si>
  <si>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</si>
  <si>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</si>
  <si>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</si>
  <si>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</si>
  <si>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</si>
  <si>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</si>
  <si>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</si>
  <si>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</si>
  <si>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</si>
  <si>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</si>
  <si>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</si>
  <si>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</si>
  <si>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</si>
  <si>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</si>
  <si>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</si>
  <si>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</si>
  <si>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</si>
  <si>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</si>
  <si>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</si>
  <si>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</si>
  <si>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</si>
  <si>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</si>
  <si>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</si>
  <si>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</si>
  <si>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</si>
  <si>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</si>
  <si>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</si>
  <si>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</si>
  <si>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</si>
  <si>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</si>
  <si>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</si>
  <si>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</si>
  <si>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</si>
  <si>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</si>
  <si>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</si>
  <si>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</si>
  <si>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</si>
  <si>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</si>
  <si>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</si>
  <si>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</si>
  <si>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</si>
  <si>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</si>
  <si>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</si>
  <si>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</si>
  <si>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</si>
  <si>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</si>
  <si>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</si>
  <si>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</si>
  <si>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</si>
  <si>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</si>
  <si>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</si>
  <si>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</si>
  <si>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</si>
  <si>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</si>
  <si>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</si>
  <si>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</si>
  <si>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</si>
  <si>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</si>
  <si>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</si>
  <si>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</si>
  <si>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</si>
  <si>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</si>
  <si>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</si>
  <si>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</si>
  <si>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</si>
  <si>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</si>
  <si>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</si>
  <si>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</si>
  <si>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</si>
  <si>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</si>
  <si>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</si>
  <si>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</si>
  <si>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</si>
  <si>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</si>
  <si>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</si>
  <si>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</si>
  <si>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</si>
  <si>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</si>
  <si>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</si>
  <si>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</si>
  <si>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</si>
  <si>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</si>
  <si>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</si>
  <si>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</si>
  <si>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</si>
  <si>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</si>
  <si>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</si>
  <si>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</si>
  <si>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</si>
  <si>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</si>
  <si>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</si>
  <si>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</si>
  <si>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</si>
  <si>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</si>
  <si>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</si>
  <si>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</si>
  <si>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</si>
  <si>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</si>
  <si>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</si>
  <si>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</si>
  <si>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</si>
  <si>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</si>
  <si>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</si>
  <si>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</si>
  <si>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</si>
  <si>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</si>
  <si>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</si>
  <si>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</si>
  <si>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</si>
  <si>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</si>
  <si>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</si>
  <si>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</si>
  <si>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</si>
  <si>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</si>
  <si>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</si>
  <si>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</si>
  <si>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</si>
  <si>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</si>
  <si>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</si>
  <si>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</si>
  <si>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</si>
  <si>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</si>
  <si>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</si>
  <si>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</si>
  <si>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</si>
  <si>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</si>
  <si>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</si>
  <si>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</si>
  <si>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</si>
  <si>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</si>
  <si>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</si>
  <si>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negócios 2 -Qual faturamento total de vendas de planos anuais separados por auto renovação não é por auto renovação.</t>
  </si>
  <si>
    <t>Pergunta de negócios 1 -Qual faturamento total de vendas de planos anuias ( contendo todas as assinaturas agregadas).</t>
  </si>
  <si>
    <t>(Vários itens)</t>
  </si>
  <si>
    <t>XBOX GAME PASS SUBSCRIPTIONS SALES</t>
  </si>
  <si>
    <t>Pergunta de negócio 3 -Total de Vendas de Assinaturas do EA Play</t>
  </si>
  <si>
    <t>Soma de EA Play Season Pass</t>
  </si>
  <si>
    <t>Pergunta de negócio 4 - Total de Vendas de Assinaturas do Minecraft Pass</t>
  </si>
  <si>
    <t>Soma de Minecraft Season Pass Price</t>
  </si>
  <si>
    <t>Período de Apuração: 01/01/2024 a 31/12/2024</t>
  </si>
  <si>
    <t>Update date:12//02/2025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</si>
</sst>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5"/>
      <color rgb="FF9BC848"/>
      <name val="Segoe UI"/>
      <family val="2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5" fillId="8" borderId="2" xfId="1" applyFont="1" applyFill="1" applyBorder="1"/>
    <xf numFmtId="0" fontId="4" fillId="0" borderId="2" xfId="1" applyFont="1" applyBorder="1"/>
    <xf numFmtId="0" fontId="0" fillId="0" borderId="2" xfId="0" applyBorder="1"/>
    <xf numFmtId="0" fontId="0" fillId="7" borderId="0" xfId="0" applyFill="1" applyBorder="1"/>
    <xf numFmtId="0" fontId="7" fillId="7" borderId="0" xfId="0" applyFont="1" applyFill="1"/>
    <xf numFmtId="0" fontId="6" fillId="8" borderId="2" xfId="1" applyFont="1" applyFill="1" applyBorder="1" applyAlignment="1">
      <alignment horizontal="left" vertical="center" indent="46"/>
    </xf>
    <xf numFmtId="21" fontId="0" fillId="7" borderId="0" xfId="0" applyNumberFormat="1" applyFill="1"/>
  </cellXfs>
  <cellStyles count="3">
    <cellStyle name="Moeda" xfId="2" builtinId="4"/>
    <cellStyle name="Normal" xfId="0" builtinId="0"/>
    <cellStyle name="Título 1" xfId="1" builtinId="16"/>
  </cellStyles>
  <dxfs count="44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3A14698D-8E17-4B2E-9722-89B0644E9FDB}">
      <tableStyleElement type="wholeTable" dxfId="29"/>
      <tableStyleElement type="headerRow" dxfId="28"/>
    </tableStyle>
  </tableStyles>
  <colors>
    <mruColors>
      <color rgb="FF22C55E"/>
      <color rgb="FF2AE6B1"/>
      <color rgb="FF9BC848"/>
      <color rgb="FF5BF6A8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[Desafio_Xbox.xlsx]C̳álculos!tbl_annual_total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888035976130553"/>
          <c:y val="0.12622701366103517"/>
          <c:w val="0.69486329833770777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"R$"\ #,##0.00</c:formatCode>
                <c:ptCount val="2"/>
                <c:pt idx="0">
                  <c:v>1023</c:v>
                </c:pt>
                <c:pt idx="1">
                  <c:v>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2-4DA3-AA38-34931934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662832"/>
        <c:axId val="27679632"/>
      </c:barChart>
      <c:catAx>
        <c:axId val="2766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9632"/>
        <c:crosses val="autoZero"/>
        <c:auto val="1"/>
        <c:lblAlgn val="ctr"/>
        <c:lblOffset val="100"/>
        <c:noMultiLvlLbl val="0"/>
      </c:catAx>
      <c:valAx>
        <c:axId val="2767963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276628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[Desafio_Xbox.xlsx]C̳álculos!tbl_annual_total</c:name>
    <c:fmtId val="8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95882236767859"/>
          <c:y val="2.0773796720236368E-4"/>
          <c:w val="0.69486329833770777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"R$"\ #,##0.00</c:formatCode>
                <c:ptCount val="2"/>
                <c:pt idx="0">
                  <c:v>1023</c:v>
                </c:pt>
                <c:pt idx="1">
                  <c:v>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2-4DA3-AA38-34931934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662832"/>
        <c:axId val="27679632"/>
      </c:barChart>
      <c:catAx>
        <c:axId val="2766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9632"/>
        <c:crosses val="autoZero"/>
        <c:auto val="1"/>
        <c:lblAlgn val="ctr"/>
        <c:lblOffset val="100"/>
        <c:noMultiLvlLbl val="0"/>
      </c:catAx>
      <c:valAx>
        <c:axId val="2767963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276628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7.png"/><Relationship Id="rId7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5</xdr:row>
      <xdr:rowOff>161925</xdr:rowOff>
    </xdr:from>
    <xdr:to>
      <xdr:col>1</xdr:col>
      <xdr:colOff>0</xdr:colOff>
      <xdr:row>20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2C084C9-332D-4937-8F79-7E9988B2CF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647825"/>
              <a:ext cx="2057400" cy="26041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361950</xdr:colOff>
      <xdr:row>0</xdr:row>
      <xdr:rowOff>0</xdr:rowOff>
    </xdr:from>
    <xdr:to>
      <xdr:col>6</xdr:col>
      <xdr:colOff>390526</xdr:colOff>
      <xdr:row>2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07FB2B-6CD5-45FA-8E7A-4781C7D3C5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71" t="10647" r="71617" b="12891"/>
        <a:stretch>
          <a:fillRect/>
        </a:stretch>
      </xdr:blipFill>
      <xdr:spPr>
        <a:xfrm>
          <a:off x="4543425" y="0"/>
          <a:ext cx="638176" cy="752475"/>
        </a:xfrm>
        <a:prstGeom prst="rect">
          <a:avLst/>
        </a:prstGeom>
      </xdr:spPr>
    </xdr:pic>
    <xdr:clientData/>
  </xdr:twoCellAnchor>
  <xdr:twoCellAnchor>
    <xdr:from>
      <xdr:col>2</xdr:col>
      <xdr:colOff>85725</xdr:colOff>
      <xdr:row>12</xdr:row>
      <xdr:rowOff>85725</xdr:rowOff>
    </xdr:from>
    <xdr:to>
      <xdr:col>19</xdr:col>
      <xdr:colOff>495300</xdr:colOff>
      <xdr:row>32</xdr:row>
      <xdr:rowOff>19050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93A47187-B073-091F-CA9C-4CED0CF81D62}"/>
            </a:ext>
          </a:extLst>
        </xdr:cNvPr>
        <xdr:cNvGrpSpPr/>
      </xdr:nvGrpSpPr>
      <xdr:grpSpPr>
        <a:xfrm>
          <a:off x="2438400" y="2838450"/>
          <a:ext cx="10125075" cy="3552825"/>
          <a:chOff x="3267075" y="1371600"/>
          <a:chExt cx="4772025" cy="267652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42492ACE-0708-33C7-EF87-4A0A91E11925}"/>
              </a:ext>
            </a:extLst>
          </xdr:cNvPr>
          <xdr:cNvSpPr/>
        </xdr:nvSpPr>
        <xdr:spPr>
          <a:xfrm>
            <a:off x="3267075" y="1371600"/>
            <a:ext cx="4772025" cy="2676525"/>
          </a:xfrm>
          <a:prstGeom prst="roundRect">
            <a:avLst>
              <a:gd name="adj" fmla="val 1809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16F6556-2F17-40C9-A289-FF3F45AD68F8}"/>
              </a:ext>
            </a:extLst>
          </xdr:cNvPr>
          <xdr:cNvGraphicFramePr>
            <a:graphicFrameLocks/>
          </xdr:cNvGraphicFramePr>
        </xdr:nvGraphicFramePr>
        <xdr:xfrm>
          <a:off x="3543300" y="2034913"/>
          <a:ext cx="4257675" cy="19084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2</xdr:col>
      <xdr:colOff>95250</xdr:colOff>
      <xdr:row>3</xdr:row>
      <xdr:rowOff>247651</xdr:rowOff>
    </xdr:from>
    <xdr:to>
      <xdr:col>10</xdr:col>
      <xdr:colOff>333375</xdr:colOff>
      <xdr:row>10</xdr:row>
      <xdr:rowOff>133350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D8EEE4B6-17E0-C644-09C5-12A611D09B04}"/>
            </a:ext>
          </a:extLst>
        </xdr:cNvPr>
        <xdr:cNvGrpSpPr/>
      </xdr:nvGrpSpPr>
      <xdr:grpSpPr>
        <a:xfrm>
          <a:off x="2447925" y="1133476"/>
          <a:ext cx="4800600" cy="1390649"/>
          <a:chOff x="2390775" y="1219201"/>
          <a:chExt cx="4800600" cy="1390649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7D5A178-BC70-C74A-B170-86E9392D4D85}"/>
              </a:ext>
            </a:extLst>
          </xdr:cNvPr>
          <xdr:cNvSpPr/>
        </xdr:nvSpPr>
        <xdr:spPr>
          <a:xfrm>
            <a:off x="2390775" y="1295400"/>
            <a:ext cx="4781550" cy="13144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/>
          </a:p>
        </xdr:txBody>
      </xdr:sp>
      <xdr:sp macro="" textlink="C̳álculos!F26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32C625E1-7A23-2B3B-9DFB-F4682E9AB97D}"/>
              </a:ext>
            </a:extLst>
          </xdr:cNvPr>
          <xdr:cNvSpPr/>
        </xdr:nvSpPr>
        <xdr:spPr>
          <a:xfrm>
            <a:off x="3257550" y="1435418"/>
            <a:ext cx="3648074" cy="9429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EA7C04B-FBA6-4D91-AE2F-BBB2179EE996}" type="TxLink">
              <a:rPr lang="en-US" sz="3200" b="1" i="0" u="none" strike="noStrike">
                <a:solidFill>
                  <a:srgbClr val="2AE6B1"/>
                </a:solidFill>
                <a:latin typeface="Aptos Narrow"/>
              </a:rPr>
              <a:pPr algn="ctr"/>
              <a:t>R$ 1.590,00</a:t>
            </a:fld>
            <a:endParaRPr lang="en-US" sz="3200" b="1">
              <a:solidFill>
                <a:srgbClr val="2AE6B1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19B80672-5130-42E4-BE89-BA3698B86C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86050" y="1323975"/>
            <a:ext cx="1219200" cy="1165860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7C8A10E0-2992-B5D1-0827-0F028A4400E8}"/>
              </a:ext>
            </a:extLst>
          </xdr:cNvPr>
          <xdr:cNvSpPr/>
        </xdr:nvSpPr>
        <xdr:spPr>
          <a:xfrm>
            <a:off x="2390775" y="1219201"/>
            <a:ext cx="4800600" cy="37147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TOTAL</a:t>
            </a:r>
            <a:r>
              <a:rPr lang="pt-BR" sz="1000" b="1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DE </a:t>
            </a:r>
            <a:r>
              <a:rPr lang="pt-BR" sz="1000" b="1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pitchFamily="34" charset="0"/>
                <a:cs typeface="Segoe UI" panose="020B0502040204020203" pitchFamily="34" charset="0"/>
              </a:rPr>
              <a:t>VENDAS</a:t>
            </a:r>
            <a:r>
              <a:rPr lang="pt-BR" sz="1000" b="1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SUBSCRIPTIONS EA PLAY SEASON PASS</a:t>
            </a:r>
            <a:endParaRPr lang="pt-BR" sz="1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 editAs="absolute">
    <xdr:from>
      <xdr:col>12</xdr:col>
      <xdr:colOff>95250</xdr:colOff>
      <xdr:row>3</xdr:row>
      <xdr:rowOff>247651</xdr:rowOff>
    </xdr:from>
    <xdr:to>
      <xdr:col>35</xdr:col>
      <xdr:colOff>190500</xdr:colOff>
      <xdr:row>10</xdr:row>
      <xdr:rowOff>133350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410E809C-A50C-C042-1E1A-976F74AABA0C}"/>
            </a:ext>
          </a:extLst>
        </xdr:cNvPr>
        <xdr:cNvGrpSpPr/>
      </xdr:nvGrpSpPr>
      <xdr:grpSpPr>
        <a:xfrm>
          <a:off x="8067675" y="1133476"/>
          <a:ext cx="4800600" cy="1390649"/>
          <a:chOff x="8086725" y="1171575"/>
          <a:chExt cx="4800600" cy="1390649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F08B4DA8-E06D-433E-AE86-775D85B8A04E}"/>
              </a:ext>
            </a:extLst>
          </xdr:cNvPr>
          <xdr:cNvGrpSpPr/>
        </xdr:nvGrpSpPr>
        <xdr:grpSpPr>
          <a:xfrm>
            <a:off x="8086725" y="1171575"/>
            <a:ext cx="4800600" cy="1390649"/>
            <a:chOff x="2390775" y="1219201"/>
            <a:chExt cx="4800600" cy="1390649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FC16568F-8739-A706-FC48-FFA49EEF1149}"/>
                </a:ext>
              </a:extLst>
            </xdr:cNvPr>
            <xdr:cNvSpPr/>
          </xdr:nvSpPr>
          <xdr:spPr>
            <a:xfrm>
              <a:off x="2390775" y="1295400"/>
              <a:ext cx="4781550" cy="13144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1"/>
            </a:p>
          </xdr:txBody>
        </xdr:sp>
        <xdr:sp macro="" textlink="C̳álculos!F40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5C468A04-BA8A-9BD2-C6B8-1F60943ECB72}"/>
                </a:ext>
              </a:extLst>
            </xdr:cNvPr>
            <xdr:cNvSpPr/>
          </xdr:nvSpPr>
          <xdr:spPr>
            <a:xfrm>
              <a:off x="3390900" y="1481138"/>
              <a:ext cx="3695699" cy="942975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25AA90C6-E5BB-4C38-BA21-C196AD99549D}" type="TxLink">
                <a:rPr lang="en-US" sz="3200" b="1" i="0" u="none" strike="noStrike">
                  <a:solidFill>
                    <a:srgbClr val="2AE6B1"/>
                  </a:solidFill>
                  <a:latin typeface="Aptos Narrow"/>
                </a:rPr>
                <a:t>R$ 2.080,00</a:t>
              </a:fld>
              <a:endParaRPr lang="en-US" sz="3200" b="1">
                <a:solidFill>
                  <a:srgbClr val="2AE6B1"/>
                </a:solidFill>
              </a:endParaRPr>
            </a:p>
          </xdr:txBody>
        </xdr: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8C3620EE-4000-A24E-2B0D-1DBA05C6FBDA}"/>
                </a:ext>
              </a:extLst>
            </xdr:cNvPr>
            <xdr:cNvSpPr/>
          </xdr:nvSpPr>
          <xdr:spPr>
            <a:xfrm>
              <a:off x="2390775" y="1219201"/>
              <a:ext cx="4800600" cy="371474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000" b="1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TOTAL</a:t>
              </a:r>
              <a:r>
                <a:rPr lang="pt-BR" sz="1000" b="1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 DE </a:t>
              </a:r>
              <a:r>
                <a:rPr lang="pt-BR" sz="1000" b="1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VENDAS</a:t>
              </a:r>
              <a:r>
                <a:rPr lang="pt-BR" sz="1000" b="1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 SUBSCRIPTIONS MINECRAFT SEASON PASS</a:t>
              </a:r>
              <a:endParaRPr lang="pt-BR" sz="10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56213D99-E7F2-4672-B649-D4689A06491C}"/>
              </a:ext>
            </a:extLst>
          </xdr:cNvPr>
          <xdr:cNvGrpSpPr/>
        </xdr:nvGrpSpPr>
        <xdr:grpSpPr>
          <a:xfrm>
            <a:off x="8201025" y="1582101"/>
            <a:ext cx="1549476" cy="721996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C5406606-36F5-3608-8467-E9F89633271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F0716021-8A6D-B775-6341-0E892FEC83F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190500</xdr:colOff>
      <xdr:row>12</xdr:row>
      <xdr:rowOff>57150</xdr:rowOff>
    </xdr:from>
    <xdr:to>
      <xdr:col>35</xdr:col>
      <xdr:colOff>295275</xdr:colOff>
      <xdr:row>36</xdr:row>
      <xdr:rowOff>9525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5BE8F339-CA30-C03D-19F4-4502BD3BC9D6}"/>
            </a:ext>
          </a:extLst>
        </xdr:cNvPr>
        <xdr:cNvGrpSpPr/>
      </xdr:nvGrpSpPr>
      <xdr:grpSpPr>
        <a:xfrm>
          <a:off x="2295525" y="2809875"/>
          <a:ext cx="10677525" cy="4295775"/>
          <a:chOff x="2343150" y="2278288"/>
          <a:chExt cx="10677525" cy="4798787"/>
        </a:xfrm>
      </xdr:grpSpPr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40E9EC39-F573-4659-442A-05E5460FDCF7}"/>
              </a:ext>
            </a:extLst>
          </xdr:cNvPr>
          <xdr:cNvGrpSpPr/>
        </xdr:nvGrpSpPr>
        <xdr:grpSpPr>
          <a:xfrm>
            <a:off x="2390775" y="2695575"/>
            <a:ext cx="10610850" cy="4381500"/>
            <a:chOff x="3267075" y="1371600"/>
            <a:chExt cx="4772025" cy="2676525"/>
          </a:xfrm>
        </xdr:grpSpPr>
        <xdr:sp macro="" textlink="">
          <xdr:nvSpPr>
            <xdr:cNvPr id="30" name="Retângulo: Cantos Arredondados 29">
              <a:extLst>
                <a:ext uri="{FF2B5EF4-FFF2-40B4-BE49-F238E27FC236}">
                  <a16:creationId xmlns:a16="http://schemas.microsoft.com/office/drawing/2014/main" id="{5F99600F-FE90-5F30-FA20-FD5BD436A436}"/>
                </a:ext>
              </a:extLst>
            </xdr:cNvPr>
            <xdr:cNvSpPr/>
          </xdr:nvSpPr>
          <xdr:spPr>
            <a:xfrm>
              <a:off x="3267075" y="1371600"/>
              <a:ext cx="4772025" cy="2676525"/>
            </a:xfrm>
            <a:prstGeom prst="roundRect">
              <a:avLst>
                <a:gd name="adj" fmla="val 1809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1" name="Gráfico 30">
              <a:extLst>
                <a:ext uri="{FF2B5EF4-FFF2-40B4-BE49-F238E27FC236}">
                  <a16:creationId xmlns:a16="http://schemas.microsoft.com/office/drawing/2014/main" id="{625E706B-BB88-334E-7F66-7BDA828F5897}"/>
                </a:ext>
              </a:extLst>
            </xdr:cNvPr>
            <xdr:cNvGraphicFramePr>
              <a:graphicFrameLocks/>
            </xdr:cNvGraphicFramePr>
          </xdr:nvGraphicFramePr>
          <xdr:xfrm>
            <a:off x="3952464" y="2087280"/>
            <a:ext cx="3315573" cy="190843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23CF03EA-8066-F079-67AA-9B3A53B7032F}"/>
              </a:ext>
            </a:extLst>
          </xdr:cNvPr>
          <xdr:cNvSpPr/>
        </xdr:nvSpPr>
        <xdr:spPr>
          <a:xfrm>
            <a:off x="2343150" y="2278288"/>
            <a:ext cx="10677525" cy="112787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TOTAL</a:t>
            </a:r>
            <a:r>
              <a:rPr lang="pt-BR" sz="1800" b="1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DE </a:t>
            </a:r>
            <a:r>
              <a:rPr lang="pt-BR" sz="1800" b="1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pitchFamily="34" charset="0"/>
                <a:cs typeface="Segoe UI" panose="020B0502040204020203" pitchFamily="34" charset="0"/>
              </a:rPr>
              <a:t>VENDAS</a:t>
            </a:r>
            <a:r>
              <a:rPr lang="pt-BR" sz="1800" b="1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SUBSCRIPTIONS XBOX GAME  PASS</a:t>
            </a:r>
            <a:endParaRPr lang="pt-BR" sz="1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 editAs="absolute">
    <xdr:from>
      <xdr:col>0</xdr:col>
      <xdr:colOff>619125</xdr:colOff>
      <xdr:row>0</xdr:row>
      <xdr:rowOff>219075</xdr:rowOff>
    </xdr:from>
    <xdr:to>
      <xdr:col>0</xdr:col>
      <xdr:colOff>1314450</xdr:colOff>
      <xdr:row>2</xdr:row>
      <xdr:rowOff>139065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D62B8C6B-69A1-4B0D-8077-9259795C59D7}"/>
            </a:ext>
          </a:extLst>
        </xdr:cNvPr>
        <xdr:cNvSpPr/>
      </xdr:nvSpPr>
      <xdr:spPr>
        <a:xfrm>
          <a:off x="619125" y="219075"/>
          <a:ext cx="695325" cy="662940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14</xdr:col>
      <xdr:colOff>295275</xdr:colOff>
      <xdr:row>0</xdr:row>
      <xdr:rowOff>152399</xdr:rowOff>
    </xdr:from>
    <xdr:to>
      <xdr:col>15</xdr:col>
      <xdr:colOff>190500</xdr:colOff>
      <xdr:row>1</xdr:row>
      <xdr:rowOff>9524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A838737-9498-48F3-9024-C9552EC6AB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66358" b="-6799"/>
        <a:stretch>
          <a:fillRect/>
        </a:stretch>
      </xdr:blipFill>
      <xdr:spPr>
        <a:xfrm>
          <a:off x="9486900" y="152399"/>
          <a:ext cx="504825" cy="466725"/>
        </a:xfrm>
        <a:prstGeom prst="rect">
          <a:avLst/>
        </a:prstGeom>
      </xdr:spPr>
    </xdr:pic>
    <xdr:clientData/>
  </xdr:twoCellAnchor>
  <xdr:twoCellAnchor editAs="absolute">
    <xdr:from>
      <xdr:col>0</xdr:col>
      <xdr:colOff>104775</xdr:colOff>
      <xdr:row>3</xdr:row>
      <xdr:rowOff>161924</xdr:rowOff>
    </xdr:from>
    <xdr:to>
      <xdr:col>0</xdr:col>
      <xdr:colOff>1990725</xdr:colOff>
      <xdr:row>4</xdr:row>
      <xdr:rowOff>95249</xdr:rowOff>
    </xdr:to>
    <xdr:sp macro="" textlink="">
      <xdr:nvSpPr>
        <xdr:cNvPr id="36" name="Retângulo: Cantos Superiores Arredondados 35">
          <a:extLst>
            <a:ext uri="{FF2B5EF4-FFF2-40B4-BE49-F238E27FC236}">
              <a16:creationId xmlns:a16="http://schemas.microsoft.com/office/drawing/2014/main" id="{6FF90133-22C6-AAC1-4AFC-AA37FF91606E}"/>
            </a:ext>
          </a:extLst>
        </xdr:cNvPr>
        <xdr:cNvSpPr/>
      </xdr:nvSpPr>
      <xdr:spPr>
        <a:xfrm>
          <a:off x="104775" y="1047749"/>
          <a:ext cx="1885950" cy="352425"/>
        </a:xfrm>
        <a:prstGeom prst="round2SameRect">
          <a:avLst>
            <a:gd name="adj1" fmla="val 44792"/>
            <a:gd name="adj2" fmla="val 34375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tx1"/>
              </a:solidFill>
            </a:rPr>
            <a:t>Bem</a:t>
          </a:r>
          <a:r>
            <a:rPr lang="pt-BR" sz="1100" b="1" baseline="0">
              <a:solidFill>
                <a:schemeClr val="tx1"/>
              </a:solidFill>
            </a:rPr>
            <a:t> Vinda Adriana! 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ite Mascena" refreshedDate="46044.553421296296" createdVersion="8" refreshedVersion="8" minRefreshableVersion="3" recordCount="296" xr:uid="{94291C88-802B-4F11-A64A-B408F0B432E2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377776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  <r>
    <m/>
    <x v="280"/>
    <x v="3"/>
    <m/>
    <x v="2"/>
    <m/>
    <x v="3"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DDD0E-DEE2-47E0-9049-56961291B365}" name="Tabela dinâmica6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5:C39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h="1" x="0"/>
        <item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2">
    <format dxfId="21">
      <pivotArea outline="0" collapsedLevelsAreSubtotals="1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1FD71-4F15-4F05-A2CF-DB1CD1D55396}" name="tbl_annual_total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2:C15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h="1"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5"/>
  </dataFields>
  <formats count="3">
    <format dxfId="23">
      <pivotArea collapsedLevelsAreSubtotals="1" fieldPosition="0">
        <references count="1">
          <reference field="4" count="1">
            <x v="0"/>
          </reference>
        </references>
      </pivotArea>
    </format>
    <format dxfId="24">
      <pivotArea outline="0" collapsedLevelsAreSubtotals="1" fieldPosition="0"/>
    </format>
    <format dxfId="25">
      <pivotArea dataOnly="0" labelOnly="1" outline="0" axis="axisValues" fieldPosition="0"/>
    </format>
  </formats>
  <chartFormats count="2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D3D36-3D4A-496B-A4B9-7330582FFF3D}" name="Tbl_easeasonpass_total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2:C26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h="1" x="0"/>
        <item x="2"/>
        <item h="1" x="3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2">
    <format dxfId="26">
      <pivotArea outline="0" collapsedLevelsAreSubtotals="1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14D8D77-5075-4C70-8A58-C73F53E10E0D}" sourceName="Subscription Type">
  <pivotTables>
    <pivotTable tabId="3" name="tbl_annual_total"/>
    <pivotTable tabId="3" name="Tbl_easeasonpass_total"/>
    <pivotTable tabId="3" name="Tabela dinâmica6"/>
  </pivotTables>
  <data>
    <tabular pivotCacheId="1937777677">
      <items count="4">
        <i x="1" s="1"/>
        <i x="0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1943217-E8DE-4E36-912C-C4299D578627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42"/>
    <tableColumn id="2" xr3:uid="{53DD39D0-2220-4121-9E9D-4EAA7E151C0F}" name="Name" dataDxfId="41"/>
    <tableColumn id="3" xr3:uid="{4F5FF271-4C57-4BE0-8F2C-F82C8551625C}" name="Plan" dataDxfId="40"/>
    <tableColumn id="4" xr3:uid="{8C17EB93-79B9-4E55-B8F7-BEB82F8253E9}" name="Start Date" dataDxfId="39"/>
    <tableColumn id="5" xr3:uid="{48CEDF9B-1689-482A-A828-5CCE7713264A}" name="Auto Renewal" dataDxfId="38"/>
    <tableColumn id="6" xr3:uid="{78B82374-9AA7-4E38-AE4F-78CDE6C83720}" name="Subscription Price" dataDxfId="37" dataCellStyle="Moeda"/>
    <tableColumn id="7" xr3:uid="{F2433F68-AF33-49D0-B1FB-19A396074EDE}" name="Subscription Type" dataDxfId="36"/>
    <tableColumn id="8" xr3:uid="{FD4D9C95-F6E5-4933-9068-A71FF7DF9343}" name="EA Play Season Pass" dataDxfId="35"/>
    <tableColumn id="13" xr3:uid="{978DD0D2-834E-4CE4-A39B-30976086932F}" name="EA Play Season Pass_x000a_Price" dataDxfId="34" dataCellStyle="Moeda"/>
    <tableColumn id="9" xr3:uid="{6E29F111-C395-4580-9DAD-3407D9E8B1A4}" name="Minecraft Season Pass" dataDxfId="33"/>
    <tableColumn id="10" xr3:uid="{EF544EAA-7F25-4FD5-A10E-8E62804DB9E3}" name="Minecraft Season Pass Price" dataDxfId="32" dataCellStyle="Moeda"/>
    <tableColumn id="11" xr3:uid="{7F6EB64A-1F07-4E48-9F0F-AC7D9DCD26F8}" name="Coupon Value" dataDxfId="31" dataCellStyle="Moeda"/>
    <tableColumn id="12" xr3:uid="{2B04ABC8-DE6F-426E-ADC0-D8AFC68CA58E}" name="Total Value" dataDxfId="3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5" sqref="E3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5" sqref="E3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F40"/>
  <sheetViews>
    <sheetView showGridLines="0" topLeftCell="A19" workbookViewId="0">
      <selection activeCell="E35" sqref="E35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13.21875" bestFit="1" customWidth="1"/>
    <col min="5" max="5" width="15.44140625" bestFit="1" customWidth="1"/>
    <col min="6" max="6" width="12.6640625" bestFit="1" customWidth="1"/>
    <col min="7" max="7" width="12.21875" bestFit="1" customWidth="1"/>
    <col min="8" max="8" width="10.88671875" bestFit="1" customWidth="1"/>
    <col min="9" max="9" width="11.77734375" bestFit="1" customWidth="1"/>
    <col min="10" max="10" width="11.5546875" bestFit="1" customWidth="1"/>
    <col min="11" max="11" width="11.109375" bestFit="1" customWidth="1"/>
    <col min="12" max="12" width="9.44140625" bestFit="1" customWidth="1"/>
    <col min="13" max="13" width="12.21875" bestFit="1" customWidth="1"/>
    <col min="14" max="14" width="11.6640625" bestFit="1" customWidth="1"/>
    <col min="15" max="15" width="11" bestFit="1" customWidth="1"/>
    <col min="16" max="16" width="12.33203125" bestFit="1" customWidth="1"/>
    <col min="17" max="17" width="13.88671875" bestFit="1" customWidth="1"/>
    <col min="18" max="18" width="10.44140625" bestFit="1" customWidth="1"/>
    <col min="19" max="19" width="12.21875" bestFit="1" customWidth="1"/>
    <col min="20" max="20" width="13.6640625" bestFit="1" customWidth="1"/>
    <col min="21" max="21" width="13.33203125" bestFit="1" customWidth="1"/>
    <col min="22" max="22" width="14.21875" bestFit="1" customWidth="1"/>
    <col min="23" max="23" width="12" bestFit="1" customWidth="1"/>
    <col min="24" max="24" width="15.21875" bestFit="1" customWidth="1"/>
    <col min="25" max="25" width="13.88671875" bestFit="1" customWidth="1"/>
    <col min="26" max="26" width="12" bestFit="1" customWidth="1"/>
    <col min="27" max="27" width="10.6640625" bestFit="1" customWidth="1"/>
    <col min="28" max="28" width="14.44140625" bestFit="1" customWidth="1"/>
    <col min="29" max="29" width="12.33203125" bestFit="1" customWidth="1"/>
    <col min="30" max="30" width="16.5546875" bestFit="1" customWidth="1"/>
    <col min="31" max="31" width="11" bestFit="1" customWidth="1"/>
    <col min="32" max="32" width="15.21875" bestFit="1" customWidth="1"/>
    <col min="33" max="33" width="10.109375" bestFit="1" customWidth="1"/>
    <col min="34" max="34" width="10.44140625" bestFit="1" customWidth="1"/>
    <col min="35" max="35" width="13.6640625" bestFit="1" customWidth="1"/>
    <col min="36" max="37" width="13.44140625" bestFit="1" customWidth="1"/>
    <col min="38" max="38" width="11.109375" bestFit="1" customWidth="1"/>
    <col min="39" max="39" width="10.44140625" bestFit="1" customWidth="1"/>
    <col min="40" max="40" width="14" bestFit="1" customWidth="1"/>
    <col min="41" max="41" width="12.5546875" bestFit="1" customWidth="1"/>
    <col min="42" max="42" width="12.88671875" bestFit="1" customWidth="1"/>
    <col min="43" max="43" width="13.21875" bestFit="1" customWidth="1"/>
    <col min="44" max="44" width="12" bestFit="1" customWidth="1"/>
    <col min="45" max="45" width="9.77734375" bestFit="1" customWidth="1"/>
    <col min="46" max="46" width="11.33203125" bestFit="1" customWidth="1"/>
    <col min="47" max="47" width="13.77734375" bestFit="1" customWidth="1"/>
    <col min="48" max="48" width="12.109375" bestFit="1" customWidth="1"/>
    <col min="49" max="49" width="15.44140625" bestFit="1" customWidth="1"/>
    <col min="50" max="50" width="12" bestFit="1" customWidth="1"/>
    <col min="51" max="51" width="12.5546875" bestFit="1" customWidth="1"/>
    <col min="52" max="52" width="12.33203125" bestFit="1" customWidth="1"/>
    <col min="53" max="53" width="11.21875" bestFit="1" customWidth="1"/>
    <col min="54" max="54" width="14.77734375" bestFit="1" customWidth="1"/>
    <col min="55" max="55" width="10" bestFit="1" customWidth="1"/>
    <col min="56" max="56" width="11.109375" bestFit="1" customWidth="1"/>
    <col min="57" max="57" width="11.77734375" bestFit="1" customWidth="1"/>
    <col min="58" max="58" width="12.5546875" bestFit="1" customWidth="1"/>
    <col min="59" max="59" width="12.33203125" bestFit="1" customWidth="1"/>
    <col min="60" max="60" width="13.77734375" bestFit="1" customWidth="1"/>
    <col min="61" max="61" width="10.77734375" bestFit="1" customWidth="1"/>
    <col min="62" max="63" width="14.33203125" bestFit="1" customWidth="1"/>
    <col min="64" max="64" width="11.77734375" bestFit="1" customWidth="1"/>
    <col min="65" max="65" width="15.109375" bestFit="1" customWidth="1"/>
    <col min="66" max="66" width="15" bestFit="1" customWidth="1"/>
    <col min="67" max="67" width="14" bestFit="1" customWidth="1"/>
    <col min="68" max="68" width="13.109375" bestFit="1" customWidth="1"/>
    <col min="69" max="69" width="11.77734375" bestFit="1" customWidth="1"/>
    <col min="70" max="70" width="11.5546875" bestFit="1" customWidth="1"/>
    <col min="71" max="71" width="15.5546875" bestFit="1" customWidth="1"/>
    <col min="72" max="72" width="14.109375" bestFit="1" customWidth="1"/>
    <col min="73" max="73" width="12.109375" bestFit="1" customWidth="1"/>
    <col min="74" max="74" width="10.5546875" bestFit="1" customWidth="1"/>
  </cols>
  <sheetData>
    <row r="6" spans="2:3" x14ac:dyDescent="0.3">
      <c r="B6" t="s">
        <v>317</v>
      </c>
    </row>
    <row r="7" spans="2:3" x14ac:dyDescent="0.3">
      <c r="B7" t="s">
        <v>316</v>
      </c>
    </row>
    <row r="10" spans="2:3" x14ac:dyDescent="0.3">
      <c r="B10" s="12" t="s">
        <v>16</v>
      </c>
      <c r="C10" t="s">
        <v>318</v>
      </c>
    </row>
    <row r="12" spans="2:3" x14ac:dyDescent="0.3">
      <c r="B12" s="12" t="s">
        <v>313</v>
      </c>
      <c r="C12" s="14" t="s">
        <v>315</v>
      </c>
    </row>
    <row r="13" spans="2:3" x14ac:dyDescent="0.3">
      <c r="B13" s="13" t="s">
        <v>23</v>
      </c>
      <c r="C13" s="14">
        <v>1023</v>
      </c>
    </row>
    <row r="14" spans="2:3" x14ac:dyDescent="0.3">
      <c r="B14" s="13" t="s">
        <v>19</v>
      </c>
      <c r="C14" s="14">
        <v>3039</v>
      </c>
    </row>
    <row r="15" spans="2:3" x14ac:dyDescent="0.3">
      <c r="B15" s="13" t="s">
        <v>314</v>
      </c>
      <c r="C15" s="14">
        <v>4062</v>
      </c>
    </row>
    <row r="18" spans="2:6" x14ac:dyDescent="0.3">
      <c r="B18" t="s">
        <v>320</v>
      </c>
    </row>
    <row r="20" spans="2:6" x14ac:dyDescent="0.3">
      <c r="B20" s="12" t="s">
        <v>16</v>
      </c>
      <c r="C20" t="s">
        <v>318</v>
      </c>
    </row>
    <row r="22" spans="2:6" x14ac:dyDescent="0.3">
      <c r="B22" s="12" t="s">
        <v>313</v>
      </c>
      <c r="C22" s="14" t="s">
        <v>321</v>
      </c>
    </row>
    <row r="23" spans="2:6" x14ac:dyDescent="0.3">
      <c r="B23" s="13" t="s">
        <v>22</v>
      </c>
      <c r="C23" s="14">
        <v>0</v>
      </c>
    </row>
    <row r="24" spans="2:6" x14ac:dyDescent="0.3">
      <c r="B24" s="13" t="s">
        <v>26</v>
      </c>
      <c r="C24" s="14">
        <v>0</v>
      </c>
    </row>
    <row r="25" spans="2:6" x14ac:dyDescent="0.3">
      <c r="B25" s="13" t="s">
        <v>18</v>
      </c>
      <c r="C25" s="14">
        <v>1590</v>
      </c>
    </row>
    <row r="26" spans="2:6" x14ac:dyDescent="0.3">
      <c r="B26" s="13" t="s">
        <v>314</v>
      </c>
      <c r="C26" s="14">
        <v>1590</v>
      </c>
      <c r="F26" s="14">
        <f>GETPIVOTDATA("EA Play Season Pass
Price",$B$22)+C4</f>
        <v>1590</v>
      </c>
    </row>
    <row r="30" spans="2:6" x14ac:dyDescent="0.3">
      <c r="B30" t="s">
        <v>322</v>
      </c>
    </row>
    <row r="33" spans="2:6" x14ac:dyDescent="0.3">
      <c r="B33" s="12" t="s">
        <v>16</v>
      </c>
      <c r="C33" t="s">
        <v>318</v>
      </c>
    </row>
    <row r="35" spans="2:6" x14ac:dyDescent="0.3">
      <c r="B35" s="12" t="s">
        <v>313</v>
      </c>
      <c r="C35" s="14" t="s">
        <v>323</v>
      </c>
    </row>
    <row r="36" spans="2:6" x14ac:dyDescent="0.3">
      <c r="B36" s="13" t="s">
        <v>22</v>
      </c>
      <c r="C36" s="14">
        <v>0</v>
      </c>
    </row>
    <row r="37" spans="2:6" x14ac:dyDescent="0.3">
      <c r="B37" s="13" t="s">
        <v>26</v>
      </c>
      <c r="C37" s="14">
        <v>1020</v>
      </c>
    </row>
    <row r="38" spans="2:6" x14ac:dyDescent="0.3">
      <c r="B38" s="13" t="s">
        <v>18</v>
      </c>
      <c r="C38" s="14">
        <v>1060</v>
      </c>
    </row>
    <row r="39" spans="2:6" x14ac:dyDescent="0.3">
      <c r="B39" s="13" t="s">
        <v>314</v>
      </c>
      <c r="C39" s="14">
        <v>2080</v>
      </c>
    </row>
    <row r="40" spans="2:6" x14ac:dyDescent="0.3">
      <c r="F40" s="14">
        <f>GETPIVOTDATA("Minecraft Season Pass Price",$B$35)</f>
        <v>2080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P335"/>
  <sheetViews>
    <sheetView showGridLines="0" showRowColHeaders="0" tabSelected="1" zoomScale="80" zoomScaleNormal="80" workbookViewId="0">
      <selection activeCell="AM21" sqref="AM21"/>
    </sheetView>
  </sheetViews>
  <sheetFormatPr defaultRowHeight="14.4" x14ac:dyDescent="0.3"/>
  <cols>
    <col min="1" max="1" width="30.6640625" style="6" customWidth="1"/>
    <col min="2" max="2" width="3.5546875" customWidth="1"/>
    <col min="10" max="10" width="4.33203125" customWidth="1"/>
    <col min="12" max="12" width="6.5546875" customWidth="1"/>
    <col min="13" max="18" width="8.88671875" customWidth="1"/>
    <col min="19" max="19" width="6.44140625" customWidth="1"/>
    <col min="21" max="35" width="0" hidden="1" customWidth="1"/>
  </cols>
  <sheetData>
    <row r="1" spans="2:68" ht="48" customHeight="1" thickBot="1" x14ac:dyDescent="0.6">
      <c r="B1" s="17"/>
      <c r="C1" s="20" t="s">
        <v>319</v>
      </c>
      <c r="D1" s="20"/>
      <c r="E1" s="20"/>
      <c r="F1" s="20"/>
      <c r="G1" s="20"/>
      <c r="H1" s="20"/>
      <c r="I1" s="20"/>
      <c r="J1" s="15"/>
      <c r="K1" s="16"/>
      <c r="L1" s="16"/>
      <c r="M1" s="16"/>
      <c r="N1" s="16"/>
      <c r="O1" s="17"/>
      <c r="P1" s="17"/>
      <c r="Q1" s="17"/>
      <c r="R1" s="17"/>
      <c r="S1" s="17"/>
      <c r="T1" s="17"/>
    </row>
    <row r="2" spans="2:68" ht="10.5" customHeight="1" thickTop="1" x14ac:dyDescent="0.3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</row>
    <row r="3" spans="2:68" ht="11.4" customHeight="1" x14ac:dyDescent="0.3">
      <c r="B3" s="7" t="s">
        <v>324</v>
      </c>
      <c r="C3" s="7"/>
      <c r="D3" s="7"/>
      <c r="E3" s="7"/>
      <c r="F3" s="7"/>
      <c r="G3" s="7"/>
      <c r="H3" s="7" t="s">
        <v>325</v>
      </c>
      <c r="I3" s="7"/>
      <c r="J3" s="7"/>
      <c r="K3" s="21">
        <v>0.28127314814814813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</row>
    <row r="4" spans="2:68" ht="33" customHeight="1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</row>
    <row r="5" spans="2:68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</row>
    <row r="6" spans="2:68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</row>
    <row r="7" spans="2:68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</row>
    <row r="8" spans="2:68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</row>
    <row r="9" spans="2:68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</row>
    <row r="10" spans="2:68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</row>
    <row r="11" spans="2:68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</row>
    <row r="12" spans="2:68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</row>
    <row r="13" spans="2:68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</row>
    <row r="14" spans="2:68" x14ac:dyDescent="0.3">
      <c r="B14" s="7"/>
      <c r="C14" s="7"/>
      <c r="D14" s="7"/>
      <c r="E14" s="7"/>
      <c r="F14" s="7"/>
      <c r="G14" s="7"/>
      <c r="H14" s="7"/>
      <c r="I14" s="7"/>
      <c r="J14" s="7"/>
      <c r="K14" s="1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</row>
    <row r="15" spans="2:68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</row>
    <row r="16" spans="2:68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</row>
    <row r="17" spans="2:68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18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</row>
    <row r="18" spans="2:68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</row>
    <row r="19" spans="2:68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</row>
    <row r="20" spans="2:68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</row>
    <row r="21" spans="2:68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</row>
    <row r="22" spans="2:68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</row>
    <row r="23" spans="2:68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</row>
    <row r="24" spans="2:68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</row>
    <row r="25" spans="2:68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</row>
    <row r="26" spans="2:68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</row>
    <row r="27" spans="2:68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</row>
    <row r="28" spans="2:68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</row>
    <row r="29" spans="2:68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</row>
    <row r="30" spans="2:68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</row>
    <row r="31" spans="2:68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</row>
    <row r="32" spans="2:68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</row>
    <row r="33" spans="2:68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</row>
    <row r="34" spans="2:68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</row>
    <row r="35" spans="2:68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</row>
    <row r="36" spans="2:68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</row>
    <row r="37" spans="2:68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</row>
    <row r="38" spans="2:68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</row>
    <row r="39" spans="2:68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</row>
    <row r="40" spans="2:68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</row>
    <row r="41" spans="2:68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</row>
    <row r="42" spans="2:68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</row>
    <row r="43" spans="2:68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</row>
    <row r="44" spans="2:68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</row>
    <row r="45" spans="2:68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</row>
    <row r="46" spans="2:68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</row>
    <row r="47" spans="2:68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</row>
    <row r="48" spans="2:68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</row>
    <row r="49" spans="2:68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</row>
    <row r="50" spans="2:68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</row>
    <row r="51" spans="2:68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2:68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2:68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2:68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2:68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2:68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  <row r="57" spans="2:68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</row>
    <row r="58" spans="2:68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</row>
    <row r="59" spans="2:68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</row>
    <row r="60" spans="2:68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</row>
    <row r="61" spans="2:68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</row>
    <row r="62" spans="2:68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</row>
    <row r="63" spans="2:68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</row>
    <row r="64" spans="2:68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</row>
    <row r="65" spans="2:68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</row>
    <row r="66" spans="2:68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</row>
    <row r="67" spans="2:68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</row>
    <row r="68" spans="2:68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</row>
    <row r="69" spans="2:68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</row>
    <row r="70" spans="2:68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</row>
    <row r="71" spans="2:68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</row>
    <row r="72" spans="2:68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</row>
    <row r="73" spans="2:68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</row>
    <row r="74" spans="2:68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</row>
    <row r="75" spans="2:68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</row>
    <row r="76" spans="2:68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</row>
    <row r="77" spans="2:68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</row>
    <row r="78" spans="2:68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</row>
    <row r="79" spans="2:68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</row>
    <row r="80" spans="2:68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</row>
    <row r="81" spans="2:68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</row>
    <row r="82" spans="2:68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</row>
    <row r="83" spans="2:68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</row>
    <row r="84" spans="2:68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</row>
    <row r="85" spans="2:68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</row>
    <row r="86" spans="2:68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</row>
    <row r="87" spans="2:68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</row>
    <row r="88" spans="2:68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</row>
    <row r="89" spans="2:68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</row>
    <row r="90" spans="2:68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</row>
    <row r="91" spans="2:68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</row>
    <row r="92" spans="2:68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</row>
    <row r="93" spans="2:68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</row>
    <row r="94" spans="2:68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</row>
    <row r="95" spans="2:68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</row>
    <row r="96" spans="2:68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</row>
    <row r="97" spans="2:68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</row>
    <row r="98" spans="2:68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</row>
    <row r="99" spans="2:68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</row>
    <row r="100" spans="2:68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</row>
    <row r="101" spans="2:68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</row>
    <row r="102" spans="2:68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</row>
    <row r="103" spans="2:68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</row>
    <row r="104" spans="2:68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</row>
    <row r="105" spans="2:68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</row>
    <row r="106" spans="2:68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</row>
    <row r="107" spans="2:68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</row>
    <row r="108" spans="2:68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</row>
    <row r="109" spans="2:68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</row>
    <row r="110" spans="2:68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</row>
    <row r="111" spans="2:68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</row>
    <row r="112" spans="2:68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</row>
    <row r="113" spans="2:68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</row>
    <row r="114" spans="2:68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</row>
    <row r="115" spans="2:68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</row>
    <row r="116" spans="2:68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</row>
    <row r="117" spans="2:68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</row>
    <row r="118" spans="2:68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</row>
    <row r="119" spans="2:68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</row>
    <row r="120" spans="2:68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</row>
    <row r="121" spans="2:68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</row>
    <row r="122" spans="2:68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</row>
    <row r="123" spans="2:68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</row>
    <row r="124" spans="2:68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</row>
    <row r="125" spans="2:68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</row>
    <row r="126" spans="2:68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</row>
    <row r="127" spans="2:68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</row>
    <row r="128" spans="2:68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</row>
    <row r="129" spans="2:68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</row>
    <row r="130" spans="2:68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</row>
    <row r="131" spans="2:68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</row>
    <row r="132" spans="2:68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</row>
    <row r="133" spans="2:68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</row>
    <row r="134" spans="2:68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</row>
    <row r="135" spans="2:68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</row>
    <row r="136" spans="2:68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</row>
    <row r="137" spans="2:68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</row>
    <row r="138" spans="2:68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</row>
    <row r="139" spans="2:68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</row>
    <row r="140" spans="2:68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</row>
    <row r="141" spans="2:68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</row>
    <row r="142" spans="2:68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</row>
    <row r="143" spans="2:68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</row>
    <row r="144" spans="2:68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</row>
    <row r="145" spans="2:68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</row>
    <row r="146" spans="2:68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</row>
    <row r="147" spans="2:68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</row>
    <row r="148" spans="2:68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</row>
    <row r="149" spans="2:68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</row>
    <row r="150" spans="2:68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</row>
    <row r="151" spans="2:68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</row>
    <row r="152" spans="2:68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</row>
    <row r="153" spans="2:68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</row>
    <row r="154" spans="2:68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</row>
    <row r="155" spans="2:68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</row>
    <row r="156" spans="2:68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</row>
    <row r="157" spans="2:68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</row>
    <row r="158" spans="2:68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</row>
    <row r="159" spans="2:68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</row>
    <row r="160" spans="2:68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</row>
    <row r="161" spans="2:68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</row>
    <row r="162" spans="2:68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</row>
    <row r="163" spans="2:68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</row>
    <row r="164" spans="2:68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</row>
    <row r="165" spans="2:68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</row>
    <row r="166" spans="2:68" x14ac:dyDescent="0.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</row>
    <row r="167" spans="2:68" x14ac:dyDescent="0.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</row>
    <row r="168" spans="2:68" x14ac:dyDescent="0.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</row>
    <row r="169" spans="2:68" x14ac:dyDescent="0.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</row>
    <row r="170" spans="2:68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</row>
    <row r="171" spans="2:68" x14ac:dyDescent="0.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</row>
    <row r="172" spans="2:68" x14ac:dyDescent="0.3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</row>
    <row r="173" spans="2:68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</row>
    <row r="174" spans="2:68" x14ac:dyDescent="0.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</row>
    <row r="175" spans="2:68" x14ac:dyDescent="0.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</row>
    <row r="176" spans="2:68" x14ac:dyDescent="0.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</row>
    <row r="177" spans="2:68" x14ac:dyDescent="0.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</row>
    <row r="178" spans="2:68" x14ac:dyDescent="0.3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</row>
    <row r="179" spans="2:68" x14ac:dyDescent="0.3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</row>
    <row r="180" spans="2:68" x14ac:dyDescent="0.3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</row>
    <row r="181" spans="2:68" x14ac:dyDescent="0.3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</row>
    <row r="182" spans="2:68" x14ac:dyDescent="0.3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</row>
    <row r="183" spans="2:68" x14ac:dyDescent="0.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</row>
    <row r="184" spans="2:68" x14ac:dyDescent="0.3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</row>
    <row r="185" spans="2:68" x14ac:dyDescent="0.3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</row>
    <row r="186" spans="2:68" x14ac:dyDescent="0.3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</row>
    <row r="187" spans="2:68" x14ac:dyDescent="0.3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</row>
    <row r="188" spans="2:68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</row>
    <row r="189" spans="2:68" x14ac:dyDescent="0.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</row>
    <row r="190" spans="2:68" x14ac:dyDescent="0.3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</row>
    <row r="191" spans="2:68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</row>
    <row r="192" spans="2:68" x14ac:dyDescent="0.3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</row>
    <row r="193" spans="2:68" x14ac:dyDescent="0.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</row>
    <row r="194" spans="2:68" x14ac:dyDescent="0.3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</row>
    <row r="195" spans="2:68" x14ac:dyDescent="0.3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</row>
    <row r="196" spans="2:68" x14ac:dyDescent="0.3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</row>
    <row r="197" spans="2:68" x14ac:dyDescent="0.3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</row>
    <row r="198" spans="2:68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</row>
    <row r="199" spans="2:68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</row>
    <row r="200" spans="2:68" x14ac:dyDescent="0.3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</row>
    <row r="201" spans="2:68" x14ac:dyDescent="0.3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</row>
    <row r="202" spans="2:68" x14ac:dyDescent="0.3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</row>
    <row r="203" spans="2:68" x14ac:dyDescent="0.3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</row>
    <row r="204" spans="2:68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</row>
    <row r="205" spans="2:68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</row>
    <row r="206" spans="2:68" x14ac:dyDescent="0.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</row>
    <row r="207" spans="2:68" x14ac:dyDescent="0.3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</row>
    <row r="208" spans="2:68" x14ac:dyDescent="0.3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</row>
    <row r="209" spans="2:68" x14ac:dyDescent="0.3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</row>
    <row r="210" spans="2:68" x14ac:dyDescent="0.3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</row>
    <row r="211" spans="2:68" x14ac:dyDescent="0.3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</row>
    <row r="212" spans="2:68" x14ac:dyDescent="0.3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</row>
    <row r="213" spans="2:68" x14ac:dyDescent="0.3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</row>
    <row r="214" spans="2:68" x14ac:dyDescent="0.3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</row>
    <row r="215" spans="2:68" x14ac:dyDescent="0.3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</row>
    <row r="216" spans="2:68" x14ac:dyDescent="0.3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</row>
    <row r="217" spans="2:68" x14ac:dyDescent="0.3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</row>
    <row r="218" spans="2:68" x14ac:dyDescent="0.3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</row>
    <row r="219" spans="2:68" x14ac:dyDescent="0.3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</row>
    <row r="220" spans="2:68" x14ac:dyDescent="0.3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</row>
    <row r="221" spans="2:68" x14ac:dyDescent="0.3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</row>
    <row r="222" spans="2:68" x14ac:dyDescent="0.3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</row>
    <row r="223" spans="2:68" x14ac:dyDescent="0.3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</row>
    <row r="224" spans="2:68" x14ac:dyDescent="0.3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</row>
    <row r="225" spans="2:68" x14ac:dyDescent="0.3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</row>
    <row r="226" spans="2:68" x14ac:dyDescent="0.3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</row>
    <row r="227" spans="2:68" x14ac:dyDescent="0.3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</row>
    <row r="228" spans="2:68" x14ac:dyDescent="0.3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</row>
    <row r="229" spans="2:68" x14ac:dyDescent="0.3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</row>
    <row r="230" spans="2:68" x14ac:dyDescent="0.3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</row>
    <row r="231" spans="2:68" x14ac:dyDescent="0.3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</row>
    <row r="232" spans="2:68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</row>
    <row r="233" spans="2:68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</row>
    <row r="234" spans="2:68" x14ac:dyDescent="0.3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</row>
    <row r="235" spans="2:68" x14ac:dyDescent="0.3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</row>
    <row r="236" spans="2:68" x14ac:dyDescent="0.3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</row>
    <row r="237" spans="2:68" x14ac:dyDescent="0.3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</row>
    <row r="238" spans="2:68" x14ac:dyDescent="0.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</row>
    <row r="239" spans="2:68" x14ac:dyDescent="0.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</row>
    <row r="240" spans="2:68" x14ac:dyDescent="0.3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</row>
    <row r="241" spans="2:68" x14ac:dyDescent="0.3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</row>
    <row r="242" spans="2:68" x14ac:dyDescent="0.3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</row>
    <row r="243" spans="2:68" x14ac:dyDescent="0.3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</row>
    <row r="244" spans="2:68" x14ac:dyDescent="0.3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</row>
    <row r="245" spans="2:68" x14ac:dyDescent="0.3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</row>
    <row r="246" spans="2:68" x14ac:dyDescent="0.3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</row>
    <row r="247" spans="2:68" x14ac:dyDescent="0.3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</row>
    <row r="248" spans="2:68" x14ac:dyDescent="0.3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</row>
    <row r="249" spans="2:68" x14ac:dyDescent="0.3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</row>
    <row r="250" spans="2:68" x14ac:dyDescent="0.3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</row>
    <row r="251" spans="2:68" x14ac:dyDescent="0.3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</row>
    <row r="252" spans="2:68" x14ac:dyDescent="0.3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</row>
    <row r="253" spans="2:68" x14ac:dyDescent="0.3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</row>
    <row r="254" spans="2:68" x14ac:dyDescent="0.3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</row>
    <row r="255" spans="2:68" x14ac:dyDescent="0.3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</row>
    <row r="256" spans="2:68" x14ac:dyDescent="0.3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</row>
    <row r="257" spans="2:68" x14ac:dyDescent="0.3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</row>
    <row r="258" spans="2:68" x14ac:dyDescent="0.3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</row>
    <row r="259" spans="2:68" x14ac:dyDescent="0.3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</row>
    <row r="260" spans="2:68" x14ac:dyDescent="0.3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</row>
    <row r="261" spans="2:68" x14ac:dyDescent="0.3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</row>
    <row r="262" spans="2:68" x14ac:dyDescent="0.3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</row>
    <row r="263" spans="2:68" x14ac:dyDescent="0.3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</row>
    <row r="264" spans="2:68" x14ac:dyDescent="0.3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</row>
    <row r="265" spans="2:68" x14ac:dyDescent="0.3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</row>
    <row r="266" spans="2:68" x14ac:dyDescent="0.3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</row>
    <row r="267" spans="2:68" x14ac:dyDescent="0.3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</row>
    <row r="268" spans="2:68" x14ac:dyDescent="0.3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</row>
    <row r="269" spans="2:68" x14ac:dyDescent="0.3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</row>
    <row r="270" spans="2:68" x14ac:dyDescent="0.3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</row>
    <row r="271" spans="2:68" x14ac:dyDescent="0.3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</row>
    <row r="272" spans="2:68" x14ac:dyDescent="0.3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</row>
    <row r="273" spans="2:68" x14ac:dyDescent="0.3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</row>
    <row r="274" spans="2:68" x14ac:dyDescent="0.3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</row>
    <row r="275" spans="2:68" x14ac:dyDescent="0.3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</row>
    <row r="276" spans="2:68" x14ac:dyDescent="0.3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</row>
    <row r="277" spans="2:68" x14ac:dyDescent="0.3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</row>
    <row r="278" spans="2:68" x14ac:dyDescent="0.3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</row>
    <row r="279" spans="2:68" x14ac:dyDescent="0.3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</row>
    <row r="280" spans="2:68" x14ac:dyDescent="0.3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</row>
    <row r="281" spans="2:68" x14ac:dyDescent="0.3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</row>
    <row r="282" spans="2:68" x14ac:dyDescent="0.3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</row>
    <row r="283" spans="2:68" x14ac:dyDescent="0.3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</row>
    <row r="284" spans="2:68" x14ac:dyDescent="0.3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</row>
    <row r="285" spans="2:68" x14ac:dyDescent="0.3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</row>
    <row r="286" spans="2:68" x14ac:dyDescent="0.3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</row>
    <row r="287" spans="2:68" x14ac:dyDescent="0.3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</row>
    <row r="288" spans="2:68" x14ac:dyDescent="0.3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</row>
    <row r="289" spans="2:68" x14ac:dyDescent="0.3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</row>
    <row r="290" spans="2:68" x14ac:dyDescent="0.3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</row>
    <row r="291" spans="2:68" x14ac:dyDescent="0.3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</row>
    <row r="292" spans="2:68" x14ac:dyDescent="0.3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</row>
    <row r="293" spans="2:68" x14ac:dyDescent="0.3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</row>
    <row r="294" spans="2:68" x14ac:dyDescent="0.3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</row>
    <row r="295" spans="2:68" x14ac:dyDescent="0.3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</row>
    <row r="296" spans="2:68" x14ac:dyDescent="0.3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</row>
    <row r="297" spans="2:68" x14ac:dyDescent="0.3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</row>
    <row r="298" spans="2:68" x14ac:dyDescent="0.3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</row>
    <row r="299" spans="2:68" x14ac:dyDescent="0.3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</row>
    <row r="300" spans="2:68" x14ac:dyDescent="0.3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</row>
    <row r="301" spans="2:68" x14ac:dyDescent="0.3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</row>
    <row r="302" spans="2:68" x14ac:dyDescent="0.3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</row>
    <row r="303" spans="2:68" x14ac:dyDescent="0.3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</row>
    <row r="304" spans="2:68" x14ac:dyDescent="0.3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</row>
    <row r="305" spans="2:68" x14ac:dyDescent="0.3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</row>
    <row r="306" spans="2:68" x14ac:dyDescent="0.3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</row>
    <row r="307" spans="2:68" x14ac:dyDescent="0.3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</row>
    <row r="308" spans="2:68" x14ac:dyDescent="0.3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</row>
    <row r="309" spans="2:68" x14ac:dyDescent="0.3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</row>
    <row r="310" spans="2:68" x14ac:dyDescent="0.3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</row>
    <row r="311" spans="2:68" x14ac:dyDescent="0.3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</row>
    <row r="312" spans="2:68" x14ac:dyDescent="0.3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</row>
    <row r="313" spans="2:68" x14ac:dyDescent="0.3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</row>
    <row r="314" spans="2:68" x14ac:dyDescent="0.3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</row>
    <row r="315" spans="2:68" x14ac:dyDescent="0.3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</row>
    <row r="316" spans="2:68" x14ac:dyDescent="0.3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</row>
    <row r="317" spans="2:68" x14ac:dyDescent="0.3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</row>
    <row r="318" spans="2:68" x14ac:dyDescent="0.3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</row>
    <row r="319" spans="2:68" x14ac:dyDescent="0.3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</row>
    <row r="320" spans="2:68" x14ac:dyDescent="0.3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</row>
    <row r="321" spans="2:68" x14ac:dyDescent="0.3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</row>
    <row r="322" spans="2:68" x14ac:dyDescent="0.3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</row>
    <row r="323" spans="2:68" x14ac:dyDescent="0.3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</row>
    <row r="324" spans="2:68" x14ac:dyDescent="0.3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</row>
    <row r="325" spans="2:68" x14ac:dyDescent="0.3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</row>
    <row r="326" spans="2:68" x14ac:dyDescent="0.3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</row>
    <row r="327" spans="2:68" x14ac:dyDescent="0.3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</row>
    <row r="328" spans="2:68" x14ac:dyDescent="0.3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</row>
    <row r="329" spans="2:68" x14ac:dyDescent="0.3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</row>
    <row r="330" spans="2:68" x14ac:dyDescent="0.3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</row>
    <row r="331" spans="2:68" x14ac:dyDescent="0.3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</row>
    <row r="332" spans="2:68" x14ac:dyDescent="0.3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</row>
    <row r="333" spans="2:68" x14ac:dyDescent="0.3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</row>
    <row r="334" spans="2:68" x14ac:dyDescent="0.3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</row>
    <row r="335" spans="2:68" x14ac:dyDescent="0.3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Keite Mascena Ferreira</cp:lastModifiedBy>
  <dcterms:created xsi:type="dcterms:W3CDTF">2024-12-19T13:13:10Z</dcterms:created>
  <dcterms:modified xsi:type="dcterms:W3CDTF">2026-01-22T22:13:45Z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